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upraes-my.sharepoint.com/personal/balit_saxena_atomicnorth_com/Documents/Balit/Personal/AI_Projects/VAT_Compliance_Prototype/"/>
    </mc:Choice>
  </mc:AlternateContent>
  <xr:revisionPtr revIDLastSave="0" documentId="8_{3DB47C86-6B13-424C-9EE9-82B72A1E9505}" xr6:coauthVersionLast="47" xr6:coauthVersionMax="47" xr10:uidLastSave="{00000000-0000-0000-0000-000000000000}"/>
  <bookViews>
    <workbookView xWindow="-110" yWindow="-110" windowWidth="19420" windowHeight="10300" tabRatio="764" activeTab="2" xr2:uid="{00000000-000D-0000-FFFF-FFFF00000000}"/>
  </bookViews>
  <sheets>
    <sheet name="03 Data VAT Group 1" sheetId="4" r:id="rId1"/>
    <sheet name="04 Data VAT Group 2" sheetId="5" r:id="rId2"/>
    <sheet name="05 Expected Results" sheetId="6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6" l="1"/>
  <c r="E20" i="6" s="1"/>
  <c r="F12" i="5"/>
  <c r="H12" i="5" s="1"/>
  <c r="E16" i="5" s="1"/>
  <c r="C19" i="6" s="1"/>
  <c r="H7" i="5"/>
  <c r="H6" i="5"/>
  <c r="H15" i="4"/>
  <c r="F15" i="4"/>
  <c r="F14" i="4"/>
  <c r="H14" i="4" s="1"/>
  <c r="C6" i="6" s="1"/>
  <c r="E23" i="4" s="1"/>
  <c r="F23" i="4" s="1"/>
  <c r="F13" i="4"/>
  <c r="H13" i="4" s="1"/>
  <c r="B6" i="6" s="1"/>
  <c r="H9" i="4"/>
  <c r="C5" i="6" s="1"/>
  <c r="H8" i="4"/>
  <c r="H7" i="4"/>
  <c r="H6" i="4"/>
  <c r="B5" i="6" s="1"/>
  <c r="B7" i="6" l="1"/>
  <c r="B8" i="6" s="1"/>
  <c r="D5" i="6"/>
  <c r="E20" i="4"/>
  <c r="F20" i="4" s="1"/>
  <c r="C7" i="6"/>
  <c r="C8" i="6" s="1"/>
  <c r="E22" i="4"/>
  <c r="F22" i="4" s="1"/>
  <c r="D6" i="6"/>
  <c r="C18" i="6" s="1"/>
  <c r="E21" i="4"/>
  <c r="F21" i="4" s="1"/>
  <c r="E15" i="5"/>
  <c r="H8" i="5"/>
  <c r="B19" i="6" l="1"/>
  <c r="E17" i="5"/>
  <c r="D19" i="6" s="1"/>
  <c r="E19" i="6" s="1"/>
  <c r="B18" i="6"/>
  <c r="D7" i="6"/>
  <c r="D18" i="6" l="1"/>
  <c r="E18" i="6" s="1"/>
  <c r="D8" i="6"/>
</calcChain>
</file>

<file path=xl/sharedStrings.xml><?xml version="1.0" encoding="utf-8"?>
<sst xmlns="http://schemas.openxmlformats.org/spreadsheetml/2006/main" count="220" uniqueCount="144">
  <si>
    <t>1. Incorrect VAT</t>
  </si>
  <si>
    <t>2. No VAT</t>
  </si>
  <si>
    <t>VAT Group 1 — Entity A and Entity B</t>
  </si>
  <si>
    <t>Blue = hardcoded values to load. VAT amounts calculated by formula. No inter-entity transactions in this dataset.</t>
  </si>
  <si>
    <t>AR — Output VAT</t>
  </si>
  <si>
    <t>Ref</t>
  </si>
  <si>
    <t>VAT Group</t>
  </si>
  <si>
    <t>Entity</t>
  </si>
  <si>
    <t>Description</t>
  </si>
  <si>
    <t>Net (AED)</t>
  </si>
  <si>
    <t>Code as extracted</t>
  </si>
  <si>
    <t>Rate applied</t>
  </si>
  <si>
    <t>Output VAT (AED)</t>
  </si>
  <si>
    <t>Exception type &amp; outcome</t>
  </si>
  <si>
    <t>How this figure is built</t>
  </si>
  <si>
    <t>AR-A-001</t>
  </si>
  <si>
    <t>Group 1</t>
  </si>
  <si>
    <t>Entity A</t>
  </si>
  <si>
    <t>Service revenue</t>
  </si>
  <si>
    <t>SR 5%</t>
  </si>
  <si>
    <t>None — clean</t>
  </si>
  <si>
    <t>2,000,000 x 5% = 100,000. Posted correctly at source, so GL and working agree.</t>
  </si>
  <si>
    <t>AR-A-005</t>
  </si>
  <si>
    <t>Consultancy fee (sale to customer)</t>
  </si>
  <si>
    <t>Exempt (incorrect)</t>
  </si>
  <si>
    <t>1. Incorrect VAT — ACCEPTED</t>
  </si>
  <si>
    <t>AR-A-003</t>
  </si>
  <si>
    <t>Facility fees</t>
  </si>
  <si>
    <t>No VAT code on extract</t>
  </si>
  <si>
    <t>2. No VAT — REJECTED</t>
  </si>
  <si>
    <t>Platform recommends SR 5% (15,000). The recommendation is REJECTED on review — the supply is confirmed out of scope — so the ERP treatment stands and output VAT remains NIL. GL and working therefore agree.</t>
  </si>
  <si>
    <t>AR-B-001</t>
  </si>
  <si>
    <t>Entity B</t>
  </si>
  <si>
    <t>1,200,000 x 5% = 60,000. Entity B's only output VAT row.</t>
  </si>
  <si>
    <t>AP — Input VAT</t>
  </si>
  <si>
    <t>Input VAT on extract (AED)</t>
  </si>
  <si>
    <t>Rate</t>
  </si>
  <si>
    <t>Recoverable (AED)</t>
  </si>
  <si>
    <t>AP-A-101</t>
  </si>
  <si>
    <t>Operating supplies</t>
  </si>
  <si>
    <t>800,000 x 5% = 40,000. Entity A's only input VAT row, so GL and working both show 40,000.</t>
  </si>
  <si>
    <t>AP-B-101</t>
  </si>
  <si>
    <t>Capital purchase</t>
  </si>
  <si>
    <t>2,000,000 x 5% = 100,000.</t>
  </si>
  <si>
    <t>AP-B-103</t>
  </si>
  <si>
    <t>Maintenance — DUPLICATE record</t>
  </si>
  <si>
    <t>3. Duplicate — EMERGENCY ADJUST</t>
  </si>
  <si>
    <t>400,000 x 5% = 20,000 sits in the source and therefore in the GL. Flagged as a duplicate and removed in the VAT platform ONLY so filing is not delayed; the source system has not been corrected and is flagged for follow-up. This single row is the 20,000 GL difference on Entity B input.</t>
  </si>
  <si>
    <t>GL to sub-ledger reconciliation — control-account total level only</t>
  </si>
  <si>
    <t>GL balance = the BEFORE picture: what the source system actually posted. VAT working = the AFTER picture: what the platform carries once accepted corrections and emergency adjustments are applied. Both differences below are explained.</t>
  </si>
  <si>
    <t>Control account</t>
  </si>
  <si>
    <t>GL balance (AED)</t>
  </si>
  <si>
    <t>VAT working (AED)</t>
  </si>
  <si>
    <t>Difference (AED)</t>
  </si>
  <si>
    <t>Classification</t>
  </si>
  <si>
    <t>GL balance is built from</t>
  </si>
  <si>
    <t>VAT working is built from</t>
  </si>
  <si>
    <t>Outcome route</t>
  </si>
  <si>
    <t>VAT Output Control</t>
  </si>
  <si>
    <t>Explained — Incorrect VAT correction accepted and notified to source, pending correction at source</t>
  </si>
  <si>
    <t>AR-A-001 100,000 only. AR-A-005 posted as Exempt and AR-A-003 posted with no VAT, so neither carries output VAT at source.</t>
  </si>
  <si>
    <t>AR-A-001 100,000 + AR-A-005 accepted correction 10,000 = 110,000. AR-A-003 remains nil because the recommendation was rejected.</t>
  </si>
  <si>
    <t>ACCEPT — notification issued, awaiting source correction</t>
  </si>
  <si>
    <t>VAT Input Control</t>
  </si>
  <si>
    <t>Agrees — no difference</t>
  </si>
  <si>
    <t>AP-A-101 40,000.</t>
  </si>
  <si>
    <t>n/a</t>
  </si>
  <si>
    <t>AR-B-001 60,000.</t>
  </si>
  <si>
    <t>Explained — duplicate removed in the VAT platform only under Emergency Adjust; source not yet corrected</t>
  </si>
  <si>
    <t>AP-B-101 100,000 + AP-B-103 duplicate 20,000 = 120,000. The duplicate is still in the source.</t>
  </si>
  <si>
    <t>AP-B-101 100,000 only. The duplicate of 20,000 has been adjusted out in the platform.</t>
  </si>
  <si>
    <t>EMERGENCY ADJUST — source flagged for follow-up; on review, route to ACCEPT and notify source</t>
  </si>
  <si>
    <t>Reconciliation is at control-account total level per the agreed design, not transaction level. Drill-down to the underlying transaction is available where investigation is needed.</t>
  </si>
  <si>
    <t>Plus ~200 clean AR and ~150 clean AP generated records per entity as volume padding. These do not affect any figure in sheet 05.</t>
  </si>
  <si>
    <t>VAT Group 2 — Entity C</t>
  </si>
  <si>
    <t>Three lines only. Purpose: prove the solution is multi-group and demonstrate a net REFUND position. No exceptions in this group.</t>
  </si>
  <si>
    <t>Note</t>
  </si>
  <si>
    <t>AR-C-001</t>
  </si>
  <si>
    <t>Group 2</t>
  </si>
  <si>
    <t>Entity C</t>
  </si>
  <si>
    <t>Clean. 800,000 x 5% = 40,000.</t>
  </si>
  <si>
    <t>AR-C-002</t>
  </si>
  <si>
    <t>Export of services</t>
  </si>
  <si>
    <t>ZR 0%</t>
  </si>
  <si>
    <t>Zero-rated, so nil output VAT. Included to show a second VAT treatment on screen.</t>
  </si>
  <si>
    <t>Total output VAT — VAT Group 2</t>
  </si>
  <si>
    <t>Input VAT (AED)</t>
  </si>
  <si>
    <t>AP-C-101</t>
  </si>
  <si>
    <t>Clean. 1,200,000 x 5% = 60,000. Large capital spend is what drives the group into a refund position.</t>
  </si>
  <si>
    <t>VAT Group 2 result</t>
  </si>
  <si>
    <t>Amount (AED)</t>
  </si>
  <si>
    <t>Output VAT</t>
  </si>
  <si>
    <t>AR-C-001 40,000 + AR-C-002 nil.</t>
  </si>
  <si>
    <t>Input VAT</t>
  </si>
  <si>
    <t>AP-C-101 60,000.</t>
  </si>
  <si>
    <t>NET POSITION</t>
  </si>
  <si>
    <t>Net REFUND of 20,000. Demonstrates the refund request and tracking screen without building further transaction detail.</t>
  </si>
  <si>
    <t>VAT Group 3 is not built. It appears only as a summary line on the dashboard (see sheet 05).</t>
  </si>
  <si>
    <t>Expected Results — Every Screen Must Foot To This</t>
  </si>
  <si>
    <t>Final filed position after all three exception outcomes are applied. No inter-entity elimination in this dataset.</t>
  </si>
  <si>
    <t>Line</t>
  </si>
  <si>
    <t>Entity A (AED)</t>
  </si>
  <si>
    <t>Entity B (AED)</t>
  </si>
  <si>
    <t>VAT Group 1 (AED)</t>
  </si>
  <si>
    <t>How the figure is built</t>
  </si>
  <si>
    <t>AR-A-005 included at its accepted corrected value of 10,000. AR-A-003 remains nil — recommendation rejected.</t>
  </si>
  <si>
    <t>Entity A 110,000 (100,000 + 10,000 + nil) + Entity B 60,000 = 170,000.</t>
  </si>
  <si>
    <t>Input VAT (recoverable)</t>
  </si>
  <si>
    <t>AP-B-103 excluded — duplicate removed under Emergency Adjust.</t>
  </si>
  <si>
    <t>Entity A 40,000 + Entity B 100,000 = 140,000.</t>
  </si>
  <si>
    <t>NET VAT POSITION</t>
  </si>
  <si>
    <t>Entity B is a refund sitting inside a Group payable — the argument for group consolidation.</t>
  </si>
  <si>
    <t>170,000 less 140,000 = 30,000 payable for VAT Group 1.</t>
  </si>
  <si>
    <t>Position</t>
  </si>
  <si>
    <t>On consolidation a message is issued to the ERP for the net payable (screen 3.3).</t>
  </si>
  <si>
    <t>Entity A 70,000 payable less Entity B 40,000 refund = 30,000 net payable.</t>
  </si>
  <si>
    <t>Exception outcomes and their effect on the figures</t>
  </si>
  <si>
    <t>Exception type</t>
  </si>
  <si>
    <t>Record</t>
  </si>
  <si>
    <t>Recommendation</t>
  </si>
  <si>
    <t>Outcome taken</t>
  </si>
  <si>
    <t>Effect on the return</t>
  </si>
  <si>
    <t>Effect on GL reconciliation</t>
  </si>
  <si>
    <t>Change Exempt to SR 5% (10,000)</t>
  </si>
  <si>
    <t>ACCEPT</t>
  </si>
  <si>
    <t>Output VAT increases by 10,000.</t>
  </si>
  <si>
    <t>Creates a 10,000 difference on Entity A output until the source is corrected.</t>
  </si>
  <si>
    <t>Apply SR 5% (15,000)</t>
  </si>
  <si>
    <t>REJECT</t>
  </si>
  <si>
    <t>No change — output VAT remains nil.</t>
  </si>
  <si>
    <t>No difference. GL and working agree because the ERP treatment stands.</t>
  </si>
  <si>
    <t>3. Duplicate data</t>
  </si>
  <si>
    <t>Remove duplicate input VAT (20,000)</t>
  </si>
  <si>
    <t>EMERGENCY ADJUST</t>
  </si>
  <si>
    <t>Input VAT reduces by 20,000.</t>
  </si>
  <si>
    <t>Creates a 20,000 difference on Entity B input; source not yet corrected and flagged for follow-up.</t>
  </si>
  <si>
    <t>All VAT Groups — dashboard summary (screen 3.5)</t>
  </si>
  <si>
    <t>VAT Group 1 (Entity A + Entity B)</t>
  </si>
  <si>
    <t>Built in full — drives all three scenarios.</t>
  </si>
  <si>
    <t>VAT Group 2 (Entity C)</t>
  </si>
  <si>
    <t>Three lines only. Net refund — demonstrates the refund tracking screen.</t>
  </si>
  <si>
    <t>VAT Group 3</t>
  </si>
  <si>
    <t>Summary line only, no transaction detail. Present for completeness against the 3 VAT Groups in the proposal.</t>
  </si>
  <si>
    <t>Source posted this as Exempt, so the GL carries NIL output VAT. The recommendation is accepted, so the working carries 200,000 x 5% = 10,000 and a notification is issued to the source owner.
Note: this is a SALE, so 10,000 was under-billed to the customer — see Q&amp;A sheet 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</si>
</sst>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sz val="9"/>
      <color rgb="FF40404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600"/>
        <bgColor rgb="FFFFFF00"/>
      </patternFill>
    </fill>
    <fill>
      <patternFill patternType="solid">
        <fgColor rgb="FF2E2E38"/>
        <bgColor rgb="FF40404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3" fillId="0" borderId="0" xfId="0" applyFont="1"/>
    <xf numFmtId="0" fontId="6" fillId="0" borderId="0" xfId="0" applyFont="1"/>
    <xf numFmtId="164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4" fontId="3" fillId="0" borderId="1" xfId="0" applyNumberFormat="1" applyFont="1" applyBorder="1"/>
    <xf numFmtId="0" fontId="3" fillId="2" borderId="1" xfId="0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vertical="top" wrapText="1"/>
    </xf>
    <xf numFmtId="164" fontId="4" fillId="0" borderId="1" xfId="0" applyNumberFormat="1" applyFont="1" applyBorder="1" applyAlignment="1">
      <alignment horizontal="right"/>
    </xf>
    <xf numFmtId="0" fontId="7" fillId="2" borderId="1" xfId="0" applyFont="1" applyFill="1" applyBorder="1" applyAlignment="1">
      <alignment vertical="top" wrapText="1"/>
    </xf>
    <xf numFmtId="164" fontId="7" fillId="2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404040"/>
      <rgbColor rgb="FF993300"/>
      <rgbColor rgb="FF993366"/>
      <rgbColor rgb="FF333399"/>
      <rgbColor rgb="FF2E2E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J26"/>
  <sheetViews>
    <sheetView showGridLines="0" zoomScale="73" zoomScaleNormal="100" workbookViewId="0">
      <selection activeCell="I7" sqref="I7"/>
    </sheetView>
  </sheetViews>
  <sheetFormatPr defaultColWidth="8.7265625" defaultRowHeight="14.5" x14ac:dyDescent="0.35"/>
  <cols>
    <col min="1" max="1" width="11" customWidth="1"/>
    <col min="2" max="2" width="10" customWidth="1"/>
    <col min="3" max="3" width="20" customWidth="1"/>
    <col min="4" max="5" width="15" customWidth="1"/>
    <col min="6" max="6" width="14" customWidth="1"/>
    <col min="7" max="9" width="34" customWidth="1"/>
    <col min="10" max="10" width="37.08984375" customWidth="1"/>
  </cols>
  <sheetData>
    <row r="1" spans="1:10" ht="18" x14ac:dyDescent="0.4">
      <c r="A1" s="15" t="s">
        <v>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5">
      <c r="A2" s="16" t="s">
        <v>3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x14ac:dyDescent="0.35">
      <c r="A4" s="18" t="s">
        <v>4</v>
      </c>
      <c r="B4" s="18"/>
      <c r="C4" s="18"/>
      <c r="D4" s="18"/>
      <c r="E4" s="18"/>
      <c r="F4" s="18"/>
      <c r="G4" s="18"/>
      <c r="H4" s="18"/>
      <c r="I4" s="18"/>
      <c r="J4" s="18"/>
    </row>
    <row r="5" spans="1:10" ht="31.5" customHeight="1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</row>
    <row r="6" spans="1:10" ht="49.5" customHeight="1" x14ac:dyDescent="0.35">
      <c r="A6" s="2" t="s">
        <v>15</v>
      </c>
      <c r="B6" s="2" t="s">
        <v>16</v>
      </c>
      <c r="C6" s="2" t="s">
        <v>17</v>
      </c>
      <c r="D6" s="2" t="s">
        <v>18</v>
      </c>
      <c r="E6" s="5">
        <v>2000000</v>
      </c>
      <c r="F6" s="2" t="s">
        <v>19</v>
      </c>
      <c r="G6" s="6">
        <v>0.05</v>
      </c>
      <c r="H6" s="5">
        <f>E6*G6</f>
        <v>100000</v>
      </c>
      <c r="I6" s="2" t="s">
        <v>20</v>
      </c>
      <c r="J6" s="7" t="s">
        <v>21</v>
      </c>
    </row>
    <row r="7" spans="1:10" ht="93" customHeight="1" x14ac:dyDescent="0.35">
      <c r="A7" s="2" t="s">
        <v>22</v>
      </c>
      <c r="B7" s="2" t="s">
        <v>16</v>
      </c>
      <c r="C7" s="2" t="s">
        <v>17</v>
      </c>
      <c r="D7" s="2" t="s">
        <v>23</v>
      </c>
      <c r="E7" s="5">
        <v>200000</v>
      </c>
      <c r="F7" s="2" t="s">
        <v>24</v>
      </c>
      <c r="G7" s="6">
        <v>0.05</v>
      </c>
      <c r="H7" s="5">
        <f>E7*G7</f>
        <v>10000</v>
      </c>
      <c r="I7" s="2" t="s">
        <v>25</v>
      </c>
      <c r="J7" s="7" t="s">
        <v>143</v>
      </c>
    </row>
    <row r="8" spans="1:10" ht="68.5" customHeight="1" x14ac:dyDescent="0.35">
      <c r="A8" s="2" t="s">
        <v>26</v>
      </c>
      <c r="B8" s="2" t="s">
        <v>16</v>
      </c>
      <c r="C8" s="2" t="s">
        <v>17</v>
      </c>
      <c r="D8" s="2" t="s">
        <v>27</v>
      </c>
      <c r="E8" s="5">
        <v>300000</v>
      </c>
      <c r="F8" s="2" t="s">
        <v>28</v>
      </c>
      <c r="G8" s="6">
        <v>0</v>
      </c>
      <c r="H8" s="5">
        <f>E8*G8</f>
        <v>0</v>
      </c>
      <c r="I8" s="2" t="s">
        <v>29</v>
      </c>
      <c r="J8" s="7" t="s">
        <v>30</v>
      </c>
    </row>
    <row r="9" spans="1:10" ht="49.5" customHeight="1" x14ac:dyDescent="0.35">
      <c r="A9" s="2" t="s">
        <v>31</v>
      </c>
      <c r="B9" s="2" t="s">
        <v>16</v>
      </c>
      <c r="C9" s="2" t="s">
        <v>32</v>
      </c>
      <c r="D9" s="2" t="s">
        <v>18</v>
      </c>
      <c r="E9" s="5">
        <v>1200000</v>
      </c>
      <c r="F9" s="2" t="s">
        <v>19</v>
      </c>
      <c r="G9" s="6">
        <v>0.05</v>
      </c>
      <c r="H9" s="5">
        <f>E9*G9</f>
        <v>60000</v>
      </c>
      <c r="I9" s="2" t="s">
        <v>20</v>
      </c>
      <c r="J9" s="7" t="s">
        <v>33</v>
      </c>
    </row>
    <row r="11" spans="1:10" x14ac:dyDescent="0.35">
      <c r="A11" s="18" t="s">
        <v>34</v>
      </c>
      <c r="B11" s="18"/>
      <c r="C11" s="18"/>
      <c r="D11" s="18"/>
      <c r="E11" s="18"/>
      <c r="F11" s="18"/>
      <c r="G11" s="18"/>
      <c r="H11" s="18"/>
      <c r="I11" s="18"/>
      <c r="J11" s="18"/>
    </row>
    <row r="12" spans="1:10" ht="31.5" customHeight="1" x14ac:dyDescent="0.35">
      <c r="A12" s="1" t="s">
        <v>5</v>
      </c>
      <c r="B12" s="1" t="s">
        <v>6</v>
      </c>
      <c r="C12" s="1" t="s">
        <v>7</v>
      </c>
      <c r="D12" s="1" t="s">
        <v>8</v>
      </c>
      <c r="E12" s="1" t="s">
        <v>9</v>
      </c>
      <c r="F12" s="1" t="s">
        <v>35</v>
      </c>
      <c r="G12" s="1" t="s">
        <v>36</v>
      </c>
      <c r="H12" s="1" t="s">
        <v>37</v>
      </c>
      <c r="I12" s="1" t="s">
        <v>13</v>
      </c>
      <c r="J12" s="1" t="s">
        <v>14</v>
      </c>
    </row>
    <row r="13" spans="1:10" ht="49.5" customHeight="1" x14ac:dyDescent="0.35">
      <c r="A13" s="2" t="s">
        <v>38</v>
      </c>
      <c r="B13" s="2" t="s">
        <v>16</v>
      </c>
      <c r="C13" s="2" t="s">
        <v>17</v>
      </c>
      <c r="D13" s="2" t="s">
        <v>39</v>
      </c>
      <c r="E13" s="5">
        <v>800000</v>
      </c>
      <c r="F13" s="5">
        <f>E13*G13</f>
        <v>40000</v>
      </c>
      <c r="G13" s="6">
        <v>0.05</v>
      </c>
      <c r="H13" s="5">
        <f>IF(I13="3. Duplicate — EMERGENCY ADJUST",0,F13)</f>
        <v>40000</v>
      </c>
      <c r="I13" s="2" t="s">
        <v>20</v>
      </c>
      <c r="J13" s="7" t="s">
        <v>40</v>
      </c>
    </row>
    <row r="14" spans="1:10" ht="49.5" customHeight="1" x14ac:dyDescent="0.35">
      <c r="A14" s="2" t="s">
        <v>41</v>
      </c>
      <c r="B14" s="2" t="s">
        <v>16</v>
      </c>
      <c r="C14" s="2" t="s">
        <v>32</v>
      </c>
      <c r="D14" s="2" t="s">
        <v>42</v>
      </c>
      <c r="E14" s="5">
        <v>2000000</v>
      </c>
      <c r="F14" s="5">
        <f>E14*G14</f>
        <v>100000</v>
      </c>
      <c r="G14" s="6">
        <v>0.05</v>
      </c>
      <c r="H14" s="5">
        <f>IF(I14="3. Duplicate — EMERGENCY ADJUST",0,F14)</f>
        <v>100000</v>
      </c>
      <c r="I14" s="2" t="s">
        <v>20</v>
      </c>
      <c r="J14" s="7" t="s">
        <v>43</v>
      </c>
    </row>
    <row r="15" spans="1:10" ht="49.5" customHeight="1" x14ac:dyDescent="0.35">
      <c r="A15" s="2" t="s">
        <v>44</v>
      </c>
      <c r="B15" s="2" t="s">
        <v>16</v>
      </c>
      <c r="C15" s="2" t="s">
        <v>32</v>
      </c>
      <c r="D15" s="2" t="s">
        <v>45</v>
      </c>
      <c r="E15" s="5">
        <v>400000</v>
      </c>
      <c r="F15" s="5">
        <f>E15*G15</f>
        <v>20000</v>
      </c>
      <c r="G15" s="6">
        <v>0.05</v>
      </c>
      <c r="H15" s="5">
        <f>IF(I15="3. Duplicate — EMERGENCY ADJUST",0,F15)</f>
        <v>0</v>
      </c>
      <c r="I15" s="2" t="s">
        <v>46</v>
      </c>
      <c r="J15" s="7" t="s">
        <v>47</v>
      </c>
    </row>
    <row r="17" spans="1:10" x14ac:dyDescent="0.35">
      <c r="A17" s="18" t="s">
        <v>48</v>
      </c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25.5" customHeight="1" x14ac:dyDescent="0.35">
      <c r="A18" s="17" t="s">
        <v>49</v>
      </c>
      <c r="B18" s="17"/>
      <c r="C18" s="17"/>
      <c r="D18" s="17"/>
      <c r="E18" s="17"/>
      <c r="F18" s="17"/>
      <c r="G18" s="17"/>
      <c r="H18" s="17"/>
      <c r="I18" s="17"/>
      <c r="J18" s="17"/>
    </row>
    <row r="19" spans="1:10" ht="31.5" customHeight="1" x14ac:dyDescent="0.35">
      <c r="A19" s="1" t="s">
        <v>6</v>
      </c>
      <c r="B19" s="1" t="s">
        <v>7</v>
      </c>
      <c r="C19" s="1" t="s">
        <v>50</v>
      </c>
      <c r="D19" s="1" t="s">
        <v>51</v>
      </c>
      <c r="E19" s="1" t="s">
        <v>52</v>
      </c>
      <c r="F19" s="1" t="s">
        <v>53</v>
      </c>
      <c r="G19" s="1" t="s">
        <v>54</v>
      </c>
      <c r="H19" s="1" t="s">
        <v>55</v>
      </c>
      <c r="I19" s="1" t="s">
        <v>56</v>
      </c>
      <c r="J19" s="1" t="s">
        <v>57</v>
      </c>
    </row>
    <row r="20" spans="1:10" ht="60" customHeight="1" x14ac:dyDescent="0.35">
      <c r="A20" s="2" t="s">
        <v>16</v>
      </c>
      <c r="B20" s="2" t="s">
        <v>17</v>
      </c>
      <c r="C20" s="2" t="s">
        <v>58</v>
      </c>
      <c r="D20" s="5">
        <v>100000</v>
      </c>
      <c r="E20" s="5">
        <f>'05 Expected Results'!B5</f>
        <v>110000</v>
      </c>
      <c r="F20" s="5">
        <f>ABS(D20-E20)</f>
        <v>10000</v>
      </c>
      <c r="G20" s="2" t="s">
        <v>59</v>
      </c>
      <c r="H20" s="7" t="s">
        <v>60</v>
      </c>
      <c r="I20" s="7" t="s">
        <v>61</v>
      </c>
      <c r="J20" s="7" t="s">
        <v>62</v>
      </c>
    </row>
    <row r="21" spans="1:10" ht="60" customHeight="1" x14ac:dyDescent="0.35">
      <c r="A21" s="2" t="s">
        <v>16</v>
      </c>
      <c r="B21" s="2" t="s">
        <v>17</v>
      </c>
      <c r="C21" s="2" t="s">
        <v>63</v>
      </c>
      <c r="D21" s="5">
        <v>40000</v>
      </c>
      <c r="E21" s="5">
        <f>'05 Expected Results'!B6</f>
        <v>40000</v>
      </c>
      <c r="F21" s="5">
        <f>ABS(D21-E21)</f>
        <v>0</v>
      </c>
      <c r="G21" s="2" t="s">
        <v>64</v>
      </c>
      <c r="H21" s="7" t="s">
        <v>65</v>
      </c>
      <c r="I21" s="7" t="s">
        <v>65</v>
      </c>
      <c r="J21" s="7" t="s">
        <v>66</v>
      </c>
    </row>
    <row r="22" spans="1:10" ht="60" customHeight="1" x14ac:dyDescent="0.35">
      <c r="A22" s="2" t="s">
        <v>16</v>
      </c>
      <c r="B22" s="2" t="s">
        <v>32</v>
      </c>
      <c r="C22" s="2" t="s">
        <v>58</v>
      </c>
      <c r="D22" s="5">
        <v>60000</v>
      </c>
      <c r="E22" s="5">
        <f>'05 Expected Results'!C5</f>
        <v>60000</v>
      </c>
      <c r="F22" s="5">
        <f>ABS(D22-E22)</f>
        <v>0</v>
      </c>
      <c r="G22" s="2" t="s">
        <v>64</v>
      </c>
      <c r="H22" s="7" t="s">
        <v>67</v>
      </c>
      <c r="I22" s="7" t="s">
        <v>67</v>
      </c>
      <c r="J22" s="7" t="s">
        <v>66</v>
      </c>
    </row>
    <row r="23" spans="1:10" ht="60" customHeight="1" x14ac:dyDescent="0.35">
      <c r="A23" s="2" t="s">
        <v>16</v>
      </c>
      <c r="B23" s="2" t="s">
        <v>32</v>
      </c>
      <c r="C23" s="2" t="s">
        <v>63</v>
      </c>
      <c r="D23" s="5">
        <v>120000</v>
      </c>
      <c r="E23" s="5">
        <f>'05 Expected Results'!C6</f>
        <v>100000</v>
      </c>
      <c r="F23" s="5">
        <f>ABS(D23-E23)</f>
        <v>20000</v>
      </c>
      <c r="G23" s="2" t="s">
        <v>68</v>
      </c>
      <c r="H23" s="7" t="s">
        <v>69</v>
      </c>
      <c r="I23" s="7" t="s">
        <v>70</v>
      </c>
      <c r="J23" s="7" t="s">
        <v>71</v>
      </c>
    </row>
    <row r="25" spans="1:10" x14ac:dyDescent="0.35">
      <c r="A25" s="4" t="s">
        <v>72</v>
      </c>
    </row>
    <row r="26" spans="1:10" x14ac:dyDescent="0.35">
      <c r="A26" s="4" t="s">
        <v>73</v>
      </c>
    </row>
  </sheetData>
  <mergeCells count="6">
    <mergeCell ref="A18:J18"/>
    <mergeCell ref="A1:J1"/>
    <mergeCell ref="A2:J2"/>
    <mergeCell ref="A4:J4"/>
    <mergeCell ref="A11:J11"/>
    <mergeCell ref="A17:J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19"/>
  <sheetViews>
    <sheetView showGridLines="0" zoomScale="78" zoomScaleNormal="100" workbookViewId="0">
      <selection activeCell="A10" sqref="A10:I10"/>
    </sheetView>
  </sheetViews>
  <sheetFormatPr defaultColWidth="8.7265625" defaultRowHeight="14.5" x14ac:dyDescent="0.35"/>
  <cols>
    <col min="1" max="1" width="13" customWidth="1"/>
    <col min="2" max="2" width="11" customWidth="1"/>
    <col min="3" max="3" width="10" customWidth="1"/>
    <col min="4" max="4" width="28" customWidth="1"/>
    <col min="5" max="5" width="14" customWidth="1"/>
    <col min="6" max="6" width="20" customWidth="1"/>
    <col min="7" max="7" width="12" customWidth="1"/>
    <col min="8" max="8" width="16" customWidth="1"/>
    <col min="9" max="9" width="52" customWidth="1"/>
  </cols>
  <sheetData>
    <row r="1" spans="1:9" ht="18" x14ac:dyDescent="0.4">
      <c r="A1" s="15" t="s">
        <v>74</v>
      </c>
      <c r="B1" s="15"/>
      <c r="C1" s="15"/>
      <c r="D1" s="15"/>
      <c r="E1" s="15"/>
      <c r="F1" s="15"/>
      <c r="G1" s="15"/>
      <c r="H1" s="15"/>
      <c r="I1" s="15"/>
    </row>
    <row r="2" spans="1:9" x14ac:dyDescent="0.35">
      <c r="A2" s="16" t="s">
        <v>75</v>
      </c>
      <c r="B2" s="16"/>
      <c r="C2" s="16"/>
      <c r="D2" s="16"/>
      <c r="E2" s="16"/>
      <c r="F2" s="16"/>
      <c r="G2" s="16"/>
      <c r="H2" s="16"/>
      <c r="I2" s="16"/>
    </row>
    <row r="4" spans="1:9" x14ac:dyDescent="0.35">
      <c r="A4" s="18" t="s">
        <v>4</v>
      </c>
      <c r="B4" s="18"/>
      <c r="C4" s="18"/>
      <c r="D4" s="18"/>
      <c r="E4" s="18"/>
      <c r="F4" s="18"/>
      <c r="G4" s="18"/>
      <c r="H4" s="18"/>
      <c r="I4" s="18"/>
    </row>
    <row r="5" spans="1:9" ht="31.5" customHeight="1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76</v>
      </c>
    </row>
    <row r="6" spans="1:9" ht="31.5" customHeight="1" x14ac:dyDescent="0.35">
      <c r="A6" s="2" t="s">
        <v>77</v>
      </c>
      <c r="B6" s="2" t="s">
        <v>78</v>
      </c>
      <c r="C6" s="2" t="s">
        <v>79</v>
      </c>
      <c r="D6" s="2" t="s">
        <v>18</v>
      </c>
      <c r="E6" s="5">
        <v>800000</v>
      </c>
      <c r="F6" s="2" t="s">
        <v>19</v>
      </c>
      <c r="G6" s="6">
        <v>0.05</v>
      </c>
      <c r="H6" s="5">
        <f>E6*G6</f>
        <v>40000</v>
      </c>
      <c r="I6" s="2" t="s">
        <v>80</v>
      </c>
    </row>
    <row r="7" spans="1:9" ht="31.5" customHeight="1" x14ac:dyDescent="0.35">
      <c r="A7" s="2" t="s">
        <v>81</v>
      </c>
      <c r="B7" s="2" t="s">
        <v>78</v>
      </c>
      <c r="C7" s="2" t="s">
        <v>79</v>
      </c>
      <c r="D7" s="2" t="s">
        <v>82</v>
      </c>
      <c r="E7" s="5">
        <v>200000</v>
      </c>
      <c r="F7" s="2" t="s">
        <v>83</v>
      </c>
      <c r="G7" s="6">
        <v>0</v>
      </c>
      <c r="H7" s="5">
        <f>E7*G7</f>
        <v>0</v>
      </c>
      <c r="I7" s="2" t="s">
        <v>84</v>
      </c>
    </row>
    <row r="8" spans="1:9" x14ac:dyDescent="0.35">
      <c r="D8" s="3" t="s">
        <v>85</v>
      </c>
      <c r="H8" s="8">
        <f>SUM(H6:H7)</f>
        <v>40000</v>
      </c>
    </row>
    <row r="10" spans="1:9" x14ac:dyDescent="0.35">
      <c r="A10" s="18" t="s">
        <v>34</v>
      </c>
      <c r="B10" s="18"/>
      <c r="C10" s="18"/>
      <c r="D10" s="18"/>
      <c r="E10" s="18"/>
      <c r="F10" s="18"/>
      <c r="G10" s="18"/>
      <c r="H10" s="18"/>
      <c r="I10" s="18"/>
    </row>
    <row r="11" spans="1:9" ht="31.5" customHeight="1" x14ac:dyDescent="0.35">
      <c r="A11" s="1" t="s">
        <v>5</v>
      </c>
      <c r="B11" s="1" t="s">
        <v>6</v>
      </c>
      <c r="C11" s="1" t="s">
        <v>7</v>
      </c>
      <c r="D11" s="1" t="s">
        <v>8</v>
      </c>
      <c r="E11" s="1" t="s">
        <v>9</v>
      </c>
      <c r="F11" s="1" t="s">
        <v>86</v>
      </c>
      <c r="G11" s="1" t="s">
        <v>36</v>
      </c>
      <c r="H11" s="1" t="s">
        <v>37</v>
      </c>
      <c r="I11" s="1" t="s">
        <v>76</v>
      </c>
    </row>
    <row r="12" spans="1:9" ht="31.5" customHeight="1" x14ac:dyDescent="0.35">
      <c r="A12" s="2" t="s">
        <v>87</v>
      </c>
      <c r="B12" s="2" t="s">
        <v>78</v>
      </c>
      <c r="C12" s="2" t="s">
        <v>79</v>
      </c>
      <c r="D12" s="2" t="s">
        <v>42</v>
      </c>
      <c r="E12" s="5">
        <v>1200000</v>
      </c>
      <c r="F12" s="5">
        <f>E12*G12</f>
        <v>60000</v>
      </c>
      <c r="G12" s="6">
        <v>0.05</v>
      </c>
      <c r="H12" s="5">
        <f>F12</f>
        <v>60000</v>
      </c>
      <c r="I12" s="2" t="s">
        <v>88</v>
      </c>
    </row>
    <row r="14" spans="1:9" ht="31.5" customHeight="1" x14ac:dyDescent="0.35">
      <c r="A14" s="1" t="s">
        <v>89</v>
      </c>
      <c r="B14" s="1"/>
      <c r="C14" s="1"/>
      <c r="D14" s="1"/>
      <c r="E14" s="1" t="s">
        <v>90</v>
      </c>
      <c r="F14" s="1"/>
      <c r="G14" s="1"/>
      <c r="H14" s="1"/>
      <c r="I14" s="1" t="s">
        <v>76</v>
      </c>
    </row>
    <row r="15" spans="1:9" x14ac:dyDescent="0.35">
      <c r="A15" s="2" t="s">
        <v>91</v>
      </c>
      <c r="B15" s="2"/>
      <c r="C15" s="2"/>
      <c r="D15" s="2"/>
      <c r="E15" s="5">
        <f>H6+H7</f>
        <v>40000</v>
      </c>
      <c r="F15" s="2"/>
      <c r="G15" s="2"/>
      <c r="H15" s="2"/>
      <c r="I15" s="2" t="s">
        <v>92</v>
      </c>
    </row>
    <row r="16" spans="1:9" x14ac:dyDescent="0.35">
      <c r="A16" s="2" t="s">
        <v>93</v>
      </c>
      <c r="B16" s="2"/>
      <c r="C16" s="2"/>
      <c r="D16" s="2"/>
      <c r="E16" s="5">
        <f>H12</f>
        <v>60000</v>
      </c>
      <c r="F16" s="2"/>
      <c r="G16" s="2"/>
      <c r="H16" s="2"/>
      <c r="I16" s="2" t="s">
        <v>94</v>
      </c>
    </row>
    <row r="17" spans="1:9" ht="39" x14ac:dyDescent="0.35">
      <c r="A17" s="9" t="s">
        <v>95</v>
      </c>
      <c r="B17" s="9"/>
      <c r="C17" s="9"/>
      <c r="D17" s="9"/>
      <c r="E17" s="10">
        <f>E15-E16</f>
        <v>-20000</v>
      </c>
      <c r="F17" s="9"/>
      <c r="G17" s="9"/>
      <c r="H17" s="9"/>
      <c r="I17" s="9" t="s">
        <v>96</v>
      </c>
    </row>
    <row r="19" spans="1:9" x14ac:dyDescent="0.35">
      <c r="A19" s="4" t="s">
        <v>97</v>
      </c>
    </row>
  </sheetData>
  <mergeCells count="4">
    <mergeCell ref="A1:I1"/>
    <mergeCell ref="A2:I2"/>
    <mergeCell ref="A4:I4"/>
    <mergeCell ref="A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F20"/>
  <sheetViews>
    <sheetView showGridLines="0" tabSelected="1" zoomScale="71" zoomScaleNormal="100" workbookViewId="0">
      <selection sqref="A1:F1"/>
    </sheetView>
  </sheetViews>
  <sheetFormatPr defaultColWidth="8.7265625" defaultRowHeight="14.5" x14ac:dyDescent="0.35"/>
  <cols>
    <col min="1" max="1" width="30" customWidth="1"/>
    <col min="2" max="3" width="15" customWidth="1"/>
    <col min="4" max="4" width="17" customWidth="1"/>
    <col min="5" max="5" width="46" customWidth="1"/>
    <col min="6" max="6" width="50" customWidth="1"/>
  </cols>
  <sheetData>
    <row r="1" spans="1:6" ht="18" x14ac:dyDescent="0.4">
      <c r="A1" s="15" t="s">
        <v>98</v>
      </c>
      <c r="B1" s="15"/>
      <c r="C1" s="15"/>
      <c r="D1" s="15"/>
      <c r="E1" s="15"/>
      <c r="F1" s="15"/>
    </row>
    <row r="2" spans="1:6" x14ac:dyDescent="0.35">
      <c r="A2" s="16" t="s">
        <v>99</v>
      </c>
      <c r="B2" s="16"/>
      <c r="C2" s="16"/>
      <c r="D2" s="16"/>
      <c r="E2" s="16"/>
      <c r="F2" s="16"/>
    </row>
    <row r="4" spans="1:6" ht="31.5" customHeight="1" x14ac:dyDescent="0.35">
      <c r="A4" s="1" t="s">
        <v>100</v>
      </c>
      <c r="B4" s="1" t="s">
        <v>101</v>
      </c>
      <c r="C4" s="1" t="s">
        <v>102</v>
      </c>
      <c r="D4" s="1" t="s">
        <v>103</v>
      </c>
      <c r="E4" s="1" t="s">
        <v>76</v>
      </c>
      <c r="F4" s="1" t="s">
        <v>104</v>
      </c>
    </row>
    <row r="5" spans="1:6" ht="39.75" customHeight="1" x14ac:dyDescent="0.35">
      <c r="A5" s="2" t="s">
        <v>91</v>
      </c>
      <c r="B5" s="11">
        <f>SUMIFS('03 Data VAT Group 1'!$H$6:$H$9,'03 Data VAT Group 1'!$C$6:$C$9,"Entity A")</f>
        <v>110000</v>
      </c>
      <c r="C5" s="11">
        <f>SUMIFS('03 Data VAT Group 1'!$H$6:$H$9,'03 Data VAT Group 1'!$C$6:$C$9,"Entity B")</f>
        <v>60000</v>
      </c>
      <c r="D5" s="11">
        <f>B5+C5</f>
        <v>170000</v>
      </c>
      <c r="E5" s="2" t="s">
        <v>105</v>
      </c>
      <c r="F5" s="7" t="s">
        <v>106</v>
      </c>
    </row>
    <row r="6" spans="1:6" ht="39.75" customHeight="1" x14ac:dyDescent="0.35">
      <c r="A6" s="2" t="s">
        <v>107</v>
      </c>
      <c r="B6" s="11">
        <f>SUMIFS('03 Data VAT Group 1'!$H$13:$H$15,'03 Data VAT Group 1'!$C$13:$C$15,"Entity A")</f>
        <v>40000</v>
      </c>
      <c r="C6" s="11">
        <f>SUMIFS('03 Data VAT Group 1'!$H$13:$H$15,'03 Data VAT Group 1'!$C$13:$C$15,"Entity B")</f>
        <v>100000</v>
      </c>
      <c r="D6" s="11">
        <f>B6+C6</f>
        <v>140000</v>
      </c>
      <c r="E6" s="2" t="s">
        <v>108</v>
      </c>
      <c r="F6" s="7" t="s">
        <v>109</v>
      </c>
    </row>
    <row r="7" spans="1:6" ht="57" customHeight="1" x14ac:dyDescent="0.35">
      <c r="A7" s="12" t="s">
        <v>110</v>
      </c>
      <c r="B7" s="13">
        <f>B5-B6</f>
        <v>70000</v>
      </c>
      <c r="C7" s="13">
        <f>C5-C6</f>
        <v>-40000</v>
      </c>
      <c r="D7" s="13">
        <f>D5-D6</f>
        <v>30000</v>
      </c>
      <c r="E7" s="12" t="s">
        <v>111</v>
      </c>
      <c r="F7" s="12" t="s">
        <v>112</v>
      </c>
    </row>
    <row r="8" spans="1:6" ht="39.75" customHeight="1" x14ac:dyDescent="0.35">
      <c r="A8" s="2" t="s">
        <v>113</v>
      </c>
      <c r="B8" s="14" t="str">
        <f>IF(B7&gt;0,"PAYABLE","REFUND")</f>
        <v>PAYABLE</v>
      </c>
      <c r="C8" s="14" t="str">
        <f>IF(C7&gt;0,"PAYABLE","REFUND")</f>
        <v>REFUND</v>
      </c>
      <c r="D8" s="14" t="str">
        <f>IF(D7&gt;0,"PAYABLE","REFUND")</f>
        <v>PAYABLE</v>
      </c>
      <c r="E8" s="2" t="s">
        <v>114</v>
      </c>
      <c r="F8" s="7" t="s">
        <v>115</v>
      </c>
    </row>
    <row r="10" spans="1:6" x14ac:dyDescent="0.35">
      <c r="A10" s="3" t="s">
        <v>116</v>
      </c>
    </row>
    <row r="11" spans="1:6" ht="31.5" customHeight="1" x14ac:dyDescent="0.35">
      <c r="A11" s="1" t="s">
        <v>117</v>
      </c>
      <c r="B11" s="1" t="s">
        <v>118</v>
      </c>
      <c r="C11" s="1" t="s">
        <v>119</v>
      </c>
      <c r="D11" s="1" t="s">
        <v>120</v>
      </c>
      <c r="E11" s="1" t="s">
        <v>121</v>
      </c>
      <c r="F11" s="1" t="s">
        <v>122</v>
      </c>
    </row>
    <row r="12" spans="1:6" ht="39.75" customHeight="1" x14ac:dyDescent="0.35">
      <c r="A12" s="2" t="s">
        <v>0</v>
      </c>
      <c r="B12" s="2" t="s">
        <v>22</v>
      </c>
      <c r="C12" s="2" t="s">
        <v>123</v>
      </c>
      <c r="D12" s="2" t="s">
        <v>124</v>
      </c>
      <c r="E12" s="2" t="s">
        <v>125</v>
      </c>
      <c r="F12" s="2" t="s">
        <v>126</v>
      </c>
    </row>
    <row r="13" spans="1:6" ht="39.75" customHeight="1" x14ac:dyDescent="0.35">
      <c r="A13" s="2" t="s">
        <v>1</v>
      </c>
      <c r="B13" s="2" t="s">
        <v>26</v>
      </c>
      <c r="C13" s="2" t="s">
        <v>127</v>
      </c>
      <c r="D13" s="2" t="s">
        <v>128</v>
      </c>
      <c r="E13" s="2" t="s">
        <v>129</v>
      </c>
      <c r="F13" s="2" t="s">
        <v>130</v>
      </c>
    </row>
    <row r="14" spans="1:6" ht="39.75" customHeight="1" x14ac:dyDescent="0.35">
      <c r="A14" s="2" t="s">
        <v>131</v>
      </c>
      <c r="B14" s="2" t="s">
        <v>44</v>
      </c>
      <c r="C14" s="2" t="s">
        <v>132</v>
      </c>
      <c r="D14" s="2" t="s">
        <v>133</v>
      </c>
      <c r="E14" s="2" t="s">
        <v>134</v>
      </c>
      <c r="F14" s="2" t="s">
        <v>135</v>
      </c>
    </row>
    <row r="16" spans="1:6" x14ac:dyDescent="0.35">
      <c r="A16" s="3" t="s">
        <v>136</v>
      </c>
    </row>
    <row r="17" spans="1:6" ht="31.5" customHeight="1" x14ac:dyDescent="0.35">
      <c r="A17" s="1" t="s">
        <v>6</v>
      </c>
      <c r="B17" s="1" t="s">
        <v>12</v>
      </c>
      <c r="C17" s="1" t="s">
        <v>86</v>
      </c>
      <c r="D17" s="1" t="s">
        <v>9</v>
      </c>
      <c r="E17" s="1" t="s">
        <v>113</v>
      </c>
      <c r="F17" s="1" t="s">
        <v>76</v>
      </c>
    </row>
    <row r="18" spans="1:6" ht="30" customHeight="1" x14ac:dyDescent="0.35">
      <c r="A18" s="2" t="s">
        <v>137</v>
      </c>
      <c r="B18" s="11">
        <f>D5</f>
        <v>170000</v>
      </c>
      <c r="C18" s="11">
        <f>D6</f>
        <v>140000</v>
      </c>
      <c r="D18" s="11">
        <f>D7</f>
        <v>30000</v>
      </c>
      <c r="E18" s="2" t="str">
        <f>IF(D18&gt;0,"PAYABLE","REFUND")</f>
        <v>PAYABLE</v>
      </c>
      <c r="F18" s="2" t="s">
        <v>138</v>
      </c>
    </row>
    <row r="19" spans="1:6" ht="30" customHeight="1" x14ac:dyDescent="0.35">
      <c r="A19" s="2" t="s">
        <v>139</v>
      </c>
      <c r="B19" s="11">
        <f>'04 Data VAT Group 2'!E15</f>
        <v>40000</v>
      </c>
      <c r="C19" s="11">
        <f>'04 Data VAT Group 2'!E16</f>
        <v>60000</v>
      </c>
      <c r="D19" s="11">
        <f>'04 Data VAT Group 2'!E17</f>
        <v>-20000</v>
      </c>
      <c r="E19" s="2" t="str">
        <f>IF(D19&gt;0,"PAYABLE","REFUND")</f>
        <v>REFUND</v>
      </c>
      <c r="F19" s="2" t="s">
        <v>140</v>
      </c>
    </row>
    <row r="20" spans="1:6" ht="30" customHeight="1" x14ac:dyDescent="0.35">
      <c r="A20" s="2" t="s">
        <v>141</v>
      </c>
      <c r="B20" s="11">
        <v>320000</v>
      </c>
      <c r="C20" s="11">
        <v>210000</v>
      </c>
      <c r="D20" s="11">
        <f>B20-C20</f>
        <v>110000</v>
      </c>
      <c r="E20" s="2" t="str">
        <f>IF(D20&gt;0,"PAYABLE","REFUND")</f>
        <v>PAYABLE</v>
      </c>
      <c r="F20" s="2" t="s">
        <v>142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03 Data VAT Group 1</vt:lpstr>
      <vt:lpstr>04 Data VAT Group 2</vt:lpstr>
      <vt:lpstr>05 Expected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Adnan Riaz</dc:creator>
  <cp:keywords/>
  <dc:description/>
  <cp:lastModifiedBy>Balit Saxena</cp:lastModifiedBy>
  <cp:revision>0</cp:revision>
  <dcterms:created xsi:type="dcterms:W3CDTF">2026-09-18T16:34:23Z</dcterms:created>
  <dcterms:modified xsi:type="dcterms:W3CDTF">2026-09-19T10:45:56Z</dcterms:modified>
  <cp:category/>
  <cp:contentStatus/>
</cp:coreProperties>
</file>